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4cf38660153a21/Рабочий стол/"/>
    </mc:Choice>
  </mc:AlternateContent>
  <xr:revisionPtr revIDLastSave="34" documentId="11_AD4DF75460589B3ACB72844C171F49245BDEDD96" xr6:coauthVersionLast="47" xr6:coauthVersionMax="47" xr10:uidLastSave="{CDBEB9A1-3656-4E3C-A8F5-498983DD7BF6}"/>
  <bookViews>
    <workbookView xWindow="4305" yWindow="840" windowWidth="21600" windowHeight="11385" firstSheet="1" activeTab="2" xr2:uid="{00000000-000D-0000-FFFF-FFFF00000000}"/>
  </bookViews>
  <sheets>
    <sheet name="Лист1" sheetId="1" r:id="rId1"/>
    <sheet name="МЕТОД ДЕЛЕНИЯ ОТРЕЗКА ПОПОЛАМ" sheetId="2" r:id="rId2"/>
    <sheet name="МЕТОД КАСАТЕЛЬНЫХ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10" i="3"/>
  <c r="C12" i="3"/>
  <c r="C11" i="3"/>
  <c r="B10" i="3"/>
  <c r="E10" i="3"/>
  <c r="E9" i="3"/>
  <c r="A9" i="3"/>
  <c r="G9" i="3"/>
  <c r="A22" i="2"/>
  <c r="D22" i="2" s="1"/>
  <c r="B22" i="2"/>
  <c r="E22" i="2" s="1"/>
  <c r="G11" i="2"/>
  <c r="A12" i="2"/>
  <c r="H3" i="2"/>
  <c r="A11" i="2"/>
  <c r="B11" i="2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9" i="3" l="1"/>
  <c r="G11" i="3"/>
  <c r="H22" i="2"/>
  <c r="C22" i="2"/>
  <c r="F22" i="2" s="1"/>
  <c r="A23" i="2" s="1"/>
  <c r="C11" i="2"/>
  <c r="F11" i="2" s="1"/>
  <c r="E11" i="2"/>
  <c r="D11" i="2"/>
  <c r="E11" i="3" l="1"/>
  <c r="G10" i="3"/>
  <c r="A10" i="3" s="1"/>
  <c r="A11" i="3"/>
  <c r="G22" i="2"/>
  <c r="B23" i="2"/>
  <c r="C23" i="2"/>
  <c r="F23" i="2" s="1"/>
  <c r="D23" i="2"/>
  <c r="E23" i="2"/>
  <c r="B12" i="2"/>
  <c r="E12" i="2" s="1"/>
  <c r="H11" i="2"/>
  <c r="B11" i="3" l="1"/>
  <c r="G23" i="2"/>
  <c r="B24" i="2"/>
  <c r="H23" i="2"/>
  <c r="A24" i="2"/>
  <c r="D12" i="2"/>
  <c r="C12" i="2"/>
  <c r="G12" i="3" l="1"/>
  <c r="C24" i="2"/>
  <c r="F24" i="2" s="1"/>
  <c r="D24" i="2"/>
  <c r="E24" i="2"/>
  <c r="F12" i="2"/>
  <c r="B13" i="2" s="1"/>
  <c r="G12" i="2"/>
  <c r="H12" i="2"/>
  <c r="E12" i="3" l="1"/>
  <c r="A12" i="3"/>
  <c r="B12" i="3" s="1"/>
  <c r="B25" i="2"/>
  <c r="E25" i="2" s="1"/>
  <c r="A25" i="2"/>
  <c r="H24" i="2"/>
  <c r="G24" i="2"/>
  <c r="A13" i="2"/>
  <c r="D13" i="2" s="1"/>
  <c r="E13" i="2"/>
  <c r="D25" i="2" l="1"/>
  <c r="C25" i="2"/>
  <c r="F25" i="2" s="1"/>
  <c r="G25" i="2"/>
  <c r="B26" i="2"/>
  <c r="C13" i="2"/>
  <c r="F13" i="2" s="1"/>
  <c r="B14" i="2" s="1"/>
  <c r="E14" i="2" s="1"/>
  <c r="H13" i="2"/>
  <c r="E26" i="2" l="1"/>
  <c r="H25" i="2"/>
  <c r="A26" i="2"/>
  <c r="A14" i="2"/>
  <c r="C14" i="2" s="1"/>
  <c r="G13" i="2"/>
  <c r="D14" i="2"/>
  <c r="C26" i="2" l="1"/>
  <c r="D26" i="2"/>
  <c r="F14" i="2"/>
  <c r="B15" i="2" s="1"/>
  <c r="E15" i="2" s="1"/>
  <c r="G14" i="2"/>
  <c r="H14" i="2"/>
  <c r="H26" i="2" l="1"/>
  <c r="F26" i="2"/>
  <c r="B27" i="2" s="1"/>
  <c r="G26" i="2"/>
  <c r="A15" i="2"/>
  <c r="C15" i="2" s="1"/>
  <c r="E27" i="2" l="1"/>
  <c r="A27" i="2"/>
  <c r="D15" i="2"/>
  <c r="H15" i="2" s="1"/>
  <c r="F15" i="2"/>
  <c r="B16" i="2" s="1"/>
  <c r="G15" i="2"/>
  <c r="C27" i="2" l="1"/>
  <c r="F27" i="2" s="1"/>
  <c r="D27" i="2"/>
  <c r="G27" i="2"/>
  <c r="B28" i="2"/>
  <c r="E16" i="2"/>
  <c r="A16" i="2"/>
  <c r="E28" i="2" l="1"/>
  <c r="A28" i="2"/>
  <c r="H27" i="2"/>
  <c r="D16" i="2"/>
  <c r="C16" i="2"/>
  <c r="F16" i="2" s="1"/>
  <c r="B17" i="2" s="1"/>
  <c r="D28" i="2" l="1"/>
  <c r="C28" i="2"/>
  <c r="F28" i="2" s="1"/>
  <c r="G28" i="2"/>
  <c r="B29" i="2"/>
  <c r="A17" i="2"/>
  <c r="H16" i="2"/>
  <c r="E17" i="2"/>
  <c r="G16" i="2"/>
  <c r="E29" i="2" l="1"/>
  <c r="H28" i="2"/>
  <c r="A29" i="2"/>
  <c r="C17" i="2"/>
  <c r="D17" i="2"/>
  <c r="C29" i="2" l="1"/>
  <c r="F29" i="2" s="1"/>
  <c r="D29" i="2"/>
  <c r="G29" i="2"/>
  <c r="B30" i="2"/>
  <c r="H17" i="2"/>
  <c r="F17" i="2"/>
  <c r="B18" i="2" s="1"/>
  <c r="G17" i="2"/>
  <c r="E30" i="2" l="1"/>
  <c r="A30" i="2"/>
  <c r="H29" i="2"/>
  <c r="E18" i="2"/>
  <c r="A18" i="2"/>
  <c r="C30" i="2" l="1"/>
  <c r="F30" i="2" s="1"/>
  <c r="D30" i="2"/>
  <c r="H30" i="2" s="1"/>
  <c r="G30" i="2"/>
  <c r="C18" i="2"/>
  <c r="F18" i="2" s="1"/>
  <c r="B19" i="2" s="1"/>
  <c r="D18" i="2"/>
  <c r="A19" i="2" l="1"/>
  <c r="H18" i="2"/>
  <c r="E19" i="2"/>
  <c r="G18" i="2"/>
  <c r="D19" i="2" l="1"/>
  <c r="C19" i="2"/>
  <c r="F19" i="2" l="1"/>
  <c r="B20" i="2" s="1"/>
  <c r="G19" i="2"/>
  <c r="H19" i="2"/>
  <c r="A20" i="2" l="1"/>
  <c r="D20" i="2" s="1"/>
  <c r="C20" i="2"/>
  <c r="F20" i="2" s="1"/>
  <c r="E20" i="2"/>
  <c r="G20" i="2"/>
  <c r="B21" i="2" l="1"/>
  <c r="H20" i="2"/>
  <c r="A21" i="2"/>
  <c r="D21" i="2" l="1"/>
  <c r="C21" i="2"/>
  <c r="F21" i="2" s="1"/>
  <c r="E21" i="2"/>
  <c r="G21" i="2"/>
  <c r="H21" i="2" l="1"/>
</calcChain>
</file>

<file path=xl/sharedStrings.xml><?xml version="1.0" encoding="utf-8"?>
<sst xmlns="http://schemas.openxmlformats.org/spreadsheetml/2006/main" count="43" uniqueCount="33">
  <si>
    <t xml:space="preserve">строим график ф-ции </t>
  </si>
  <si>
    <t>f(x) = x^2 + 4*sin(x) + 1</t>
  </si>
  <si>
    <t>x</t>
  </si>
  <si>
    <t>f(x) =  x^2 + 4*sin(x) + 1</t>
  </si>
  <si>
    <t>Вывод:</t>
  </si>
  <si>
    <t>уравнение имеет два кореня на интервалах [-0.25; -0.375] и [-1.625;-1.75]</t>
  </si>
  <si>
    <t>МЕТОД ДЕЛЕНИЯ ОТРЕЗКА ПОПОЛАМ</t>
  </si>
  <si>
    <t>группа</t>
  </si>
  <si>
    <t>вариант №20</t>
  </si>
  <si>
    <t>студент</t>
  </si>
  <si>
    <t xml:space="preserve">Андрей </t>
  </si>
  <si>
    <t>Степанов</t>
  </si>
  <si>
    <t>ИСП.24А</t>
  </si>
  <si>
    <t>a</t>
  </si>
  <si>
    <t>b</t>
  </si>
  <si>
    <t>точность е</t>
  </si>
  <si>
    <t>c</t>
  </si>
  <si>
    <t>y(a)</t>
  </si>
  <si>
    <t>y(b)</t>
  </si>
  <si>
    <t>y©</t>
  </si>
  <si>
    <t>Оценка погрешности</t>
  </si>
  <si>
    <t>Комментарий</t>
  </si>
  <si>
    <t>МЕТОД КАСАТЕЛЬНЫХ</t>
  </si>
  <si>
    <t>XO</t>
  </si>
  <si>
    <t>Xn+1</t>
  </si>
  <si>
    <t>КОНТР 0</t>
  </si>
  <si>
    <t>ОЦЕНКА ПОГРЕШНОСТИ</t>
  </si>
  <si>
    <t>ПОГРЕЕШНОСТЬ</t>
  </si>
  <si>
    <t>ИТЕРАЦИЯ</t>
  </si>
  <si>
    <r>
      <t>y</t>
    </r>
    <r>
      <rPr>
        <sz val="11"/>
        <color theme="1"/>
        <rFont val="Calibri"/>
        <family val="2"/>
        <charset val="204"/>
        <scheme val="minor"/>
      </rPr>
      <t>'= 2*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+4*cos(</t>
    </r>
    <r>
      <rPr>
        <i/>
        <sz val="11"/>
        <color theme="1"/>
        <rFont val="Calibri"/>
        <family val="2"/>
        <charset val="204"/>
        <scheme val="minor"/>
      </rPr>
      <t>x</t>
    </r>
    <r>
      <rPr>
        <sz val="11"/>
        <color theme="1"/>
        <rFont val="Calibri"/>
        <family val="2"/>
        <charset val="204"/>
        <scheme val="minor"/>
      </rPr>
      <t>)</t>
    </r>
  </si>
  <si>
    <t>f ′(Хn)</t>
  </si>
  <si>
    <t>f (Хn)</t>
  </si>
  <si>
    <t>Хn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</si>
</sst>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983471128608924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[1]Лист2!$A$4:$A$19</c:f>
              <c:numCache>
                <c:formatCode>General</c:formatCode>
                <c:ptCount val="16"/>
                <c:pt idx="0">
                  <c:v>0</c:v>
                </c:pt>
                <c:pt idx="1">
                  <c:v>-0.125</c:v>
                </c:pt>
                <c:pt idx="2">
                  <c:v>-0.25</c:v>
                </c:pt>
                <c:pt idx="3">
                  <c:v>-0.375</c:v>
                </c:pt>
                <c:pt idx="4">
                  <c:v>-0.5</c:v>
                </c:pt>
                <c:pt idx="5">
                  <c:v>-0.625</c:v>
                </c:pt>
                <c:pt idx="6">
                  <c:v>-0.75</c:v>
                </c:pt>
                <c:pt idx="7">
                  <c:v>-0.875</c:v>
                </c:pt>
                <c:pt idx="8">
                  <c:v>-1</c:v>
                </c:pt>
                <c:pt idx="9">
                  <c:v>-1.125</c:v>
                </c:pt>
                <c:pt idx="10">
                  <c:v>-1.25</c:v>
                </c:pt>
                <c:pt idx="11">
                  <c:v>-1.375</c:v>
                </c:pt>
                <c:pt idx="12">
                  <c:v>-1.5</c:v>
                </c:pt>
                <c:pt idx="13">
                  <c:v>-1.625</c:v>
                </c:pt>
                <c:pt idx="14">
                  <c:v>-1.75</c:v>
                </c:pt>
                <c:pt idx="15">
                  <c:v>-1.875</c:v>
                </c:pt>
              </c:numCache>
            </c:numRef>
          </c:xVal>
          <c:yVal>
            <c:numRef>
              <c:f>[1]Лист2!$B$4:$B$19</c:f>
              <c:numCache>
                <c:formatCode>General</c:formatCode>
                <c:ptCount val="16"/>
                <c:pt idx="0">
                  <c:v>1</c:v>
                </c:pt>
                <c:pt idx="1">
                  <c:v>0.51692606645908923</c:v>
                </c:pt>
                <c:pt idx="2">
                  <c:v>7.2884162981908251E-2</c:v>
                </c:pt>
                <c:pt idx="3">
                  <c:v>-0.32446511634419029</c:v>
                </c:pt>
                <c:pt idx="4">
                  <c:v>-0.66770215441681202</c:v>
                </c:pt>
                <c:pt idx="5">
                  <c:v>-0.94976409176184884</c:v>
                </c:pt>
                <c:pt idx="6">
                  <c:v>-1.1640550400933365</c:v>
                </c:pt>
                <c:pt idx="7">
                  <c:v>-1.3045490089441083</c:v>
                </c:pt>
                <c:pt idx="8">
                  <c:v>-1.365883939231586</c:v>
                </c:pt>
                <c:pt idx="9">
                  <c:v>-1.3434453763963807</c:v>
                </c:pt>
                <c:pt idx="10">
                  <c:v>-1.2334384774223448</c:v>
                </c:pt>
                <c:pt idx="11">
                  <c:v>-1.0329472280926226</c:v>
                </c:pt>
                <c:pt idx="12">
                  <c:v>-0.73997994641621778</c:v>
                </c:pt>
                <c:pt idx="13">
                  <c:v>-0.35350036215932645</c:v>
                </c:pt>
                <c:pt idx="14">
                  <c:v>0.12655621250425231</c:v>
                </c:pt>
                <c:pt idx="15">
                  <c:v>0.69928187356122473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9D-4BDC-970E-022AFE78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727072"/>
        <c:axId val="1159728032"/>
      </c:scatterChart>
      <c:valAx>
        <c:axId val="115972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9728032"/>
        <c:crosses val="autoZero"/>
        <c:crossBetween val="midCat"/>
      </c:valAx>
      <c:valAx>
        <c:axId val="11597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9727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1095374</xdr:colOff>
      <xdr:row>4</xdr:row>
      <xdr:rowOff>185737</xdr:rowOff>
    </xdr:from>
    <xdr:to>
      <xdr:col>11</xdr:col>
      <xdr:colOff>581024</xdr:colOff>
      <xdr:row>22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5E0C98D-85E5-43A8-89BE-D39BC58FF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a4cf38660153a21/&#1044;&#1086;&#1082;&#1091;&#1084;&#1077;&#1085;&#1090;&#1099;/04.02.2026.xlsx" TargetMode="External"/><Relationship Id="rId1" Type="http://schemas.openxmlformats.org/officeDocument/2006/relationships/externalLinkPath" Target="/aa4cf38660153a21/&#1044;&#1086;&#1082;&#1091;&#1084;&#1077;&#1085;&#1090;&#1099;/04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</sheetNames>
    <sheetDataSet>
      <sheetData sheetId="0"/>
      <sheetData sheetId="1">
        <row r="4">
          <cell r="A4">
            <v>0</v>
          </cell>
          <cell r="B4">
            <v>1</v>
          </cell>
        </row>
        <row r="5">
          <cell r="A5">
            <v>-0.125</v>
          </cell>
          <cell r="B5">
            <v>0.51692606645908923</v>
          </cell>
        </row>
        <row r="6">
          <cell r="A6">
            <v>-0.25</v>
          </cell>
          <cell r="B6">
            <v>7.2884162981908251E-2</v>
          </cell>
        </row>
        <row r="7">
          <cell r="A7">
            <v>-0.375</v>
          </cell>
          <cell r="B7">
            <v>-0.32446511634419029</v>
          </cell>
        </row>
        <row r="8">
          <cell r="A8">
            <v>-0.5</v>
          </cell>
          <cell r="B8">
            <v>-0.66770215441681202</v>
          </cell>
        </row>
        <row r="9">
          <cell r="A9">
            <v>-0.625</v>
          </cell>
          <cell r="B9">
            <v>-0.94976409176184884</v>
          </cell>
        </row>
        <row r="10">
          <cell r="A10">
            <v>-0.75</v>
          </cell>
          <cell r="B10">
            <v>-1.1640550400933365</v>
          </cell>
        </row>
        <row r="11">
          <cell r="A11">
            <v>-0.875</v>
          </cell>
          <cell r="B11">
            <v>-1.3045490089441083</v>
          </cell>
        </row>
        <row r="12">
          <cell r="A12">
            <v>-1</v>
          </cell>
          <cell r="B12">
            <v>-1.365883939231586</v>
          </cell>
        </row>
        <row r="13">
          <cell r="A13">
            <v>-1.125</v>
          </cell>
          <cell r="B13">
            <v>-1.3434453763963807</v>
          </cell>
        </row>
        <row r="14">
          <cell r="A14">
            <v>-1.25</v>
          </cell>
          <cell r="B14">
            <v>-1.2334384774223448</v>
          </cell>
        </row>
        <row r="15">
          <cell r="A15">
            <v>-1.375</v>
          </cell>
          <cell r="B15">
            <v>-1.0329472280926226</v>
          </cell>
        </row>
        <row r="16">
          <cell r="A16">
            <v>-1.5</v>
          </cell>
          <cell r="B16">
            <v>-0.73997994641621778</v>
          </cell>
        </row>
        <row r="17">
          <cell r="A17">
            <v>-1.625</v>
          </cell>
          <cell r="B17">
            <v>-0.35350036215932645</v>
          </cell>
        </row>
        <row r="18">
          <cell r="A18">
            <v>-1.75</v>
          </cell>
          <cell r="B18">
            <v>0.12655621250425231</v>
          </cell>
        </row>
        <row r="19">
          <cell r="A19">
            <v>-1.875</v>
          </cell>
          <cell r="B19">
            <v>0.69928187356122473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C18" sqref="C18"/>
    </sheetView>
  </sheetViews>
  <sheetFormatPr defaultRowHeight="15" x14ac:dyDescent="0.25"/>
  <cols>
    <col min="2" max="2" width="21.5703125" bestFit="1" customWidth="1"/>
    <col min="3" max="3" width="21" bestFit="1" customWidth="1"/>
  </cols>
  <sheetData>
    <row r="1" spans="1:3" x14ac:dyDescent="0.25">
      <c r="B1" t="s">
        <v>0</v>
      </c>
      <c r="C1" t="s">
        <v>1</v>
      </c>
    </row>
    <row r="3" spans="1:3" x14ac:dyDescent="0.25">
      <c r="A3" s="1" t="s">
        <v>2</v>
      </c>
      <c r="B3" s="1" t="s">
        <v>3</v>
      </c>
    </row>
    <row r="4" spans="1:3" x14ac:dyDescent="0.25">
      <c r="A4" s="2">
        <v>0</v>
      </c>
      <c r="B4" s="2">
        <f>A4*A4+4*SIN(A4)+1</f>
        <v>1</v>
      </c>
    </row>
    <row r="5" spans="1:3" x14ac:dyDescent="0.25">
      <c r="A5" s="2">
        <v>-0.125</v>
      </c>
      <c r="B5" s="2">
        <f t="shared" ref="B5:B24" si="0">A5*A5+4*SIN(A5)+1</f>
        <v>0.51692606645908923</v>
      </c>
    </row>
    <row r="6" spans="1:3" x14ac:dyDescent="0.25">
      <c r="A6" s="3">
        <v>-0.25</v>
      </c>
      <c r="B6" s="3">
        <f t="shared" si="0"/>
        <v>7.2884162981908251E-2</v>
      </c>
    </row>
    <row r="7" spans="1:3" x14ac:dyDescent="0.25">
      <c r="A7" s="3">
        <v>-0.375</v>
      </c>
      <c r="B7" s="3">
        <f t="shared" si="0"/>
        <v>-0.32446511634419029</v>
      </c>
    </row>
    <row r="8" spans="1:3" x14ac:dyDescent="0.25">
      <c r="A8" s="2">
        <v>-0.5</v>
      </c>
      <c r="B8" s="2">
        <f t="shared" si="0"/>
        <v>-0.66770215441681202</v>
      </c>
    </row>
    <row r="9" spans="1:3" x14ac:dyDescent="0.25">
      <c r="A9" s="2">
        <v>-0.625</v>
      </c>
      <c r="B9" s="2">
        <f t="shared" si="0"/>
        <v>-0.94976409176184884</v>
      </c>
    </row>
    <row r="10" spans="1:3" x14ac:dyDescent="0.25">
      <c r="A10" s="2">
        <v>-0.75</v>
      </c>
      <c r="B10" s="2">
        <f t="shared" si="0"/>
        <v>-1.1640550400933365</v>
      </c>
    </row>
    <row r="11" spans="1:3" x14ac:dyDescent="0.25">
      <c r="A11" s="2">
        <v>-0.875</v>
      </c>
      <c r="B11" s="2">
        <f t="shared" si="0"/>
        <v>-1.3045490089441083</v>
      </c>
    </row>
    <row r="12" spans="1:3" x14ac:dyDescent="0.25">
      <c r="A12" s="2">
        <v>-1</v>
      </c>
      <c r="B12" s="2">
        <f t="shared" si="0"/>
        <v>-1.365883939231586</v>
      </c>
    </row>
    <row r="13" spans="1:3" x14ac:dyDescent="0.25">
      <c r="A13" s="2">
        <v>-1.125</v>
      </c>
      <c r="B13" s="2">
        <f t="shared" si="0"/>
        <v>-1.3434453763963807</v>
      </c>
    </row>
    <row r="14" spans="1:3" x14ac:dyDescent="0.25">
      <c r="A14" s="2">
        <v>-1.25</v>
      </c>
      <c r="B14" s="2">
        <f t="shared" si="0"/>
        <v>-1.2334384774223448</v>
      </c>
    </row>
    <row r="15" spans="1:3" x14ac:dyDescent="0.25">
      <c r="A15" s="2">
        <v>-1.375</v>
      </c>
      <c r="B15" s="2">
        <f t="shared" si="0"/>
        <v>-1.0329472280926226</v>
      </c>
    </row>
    <row r="16" spans="1:3" x14ac:dyDescent="0.25">
      <c r="A16" s="2">
        <v>-1.5</v>
      </c>
      <c r="B16" s="2">
        <f t="shared" si="0"/>
        <v>-0.73997994641621778</v>
      </c>
    </row>
    <row r="17" spans="1:4" x14ac:dyDescent="0.25">
      <c r="A17" s="3">
        <v>-1.625</v>
      </c>
      <c r="B17" s="3">
        <f t="shared" si="0"/>
        <v>-0.35350036215932645</v>
      </c>
    </row>
    <row r="18" spans="1:4" x14ac:dyDescent="0.25">
      <c r="A18" s="3">
        <v>-1.75</v>
      </c>
      <c r="B18" s="3">
        <f t="shared" si="0"/>
        <v>0.12655621250425231</v>
      </c>
    </row>
    <row r="19" spans="1:4" x14ac:dyDescent="0.25">
      <c r="A19" s="2">
        <v>-1.875</v>
      </c>
      <c r="B19" s="2">
        <f t="shared" si="0"/>
        <v>0.69928187356122473</v>
      </c>
    </row>
    <row r="20" spans="1:4" x14ac:dyDescent="0.25">
      <c r="A20" s="2">
        <v>-2</v>
      </c>
      <c r="B20" s="2">
        <f>A20*A20+4*SIN(A20)+1</f>
        <v>1.3628102926972732</v>
      </c>
    </row>
    <row r="21" spans="1:4" x14ac:dyDescent="0.25">
      <c r="A21" s="2">
        <v>-2.125</v>
      </c>
      <c r="B21" s="2">
        <f t="shared" si="0"/>
        <v>2.1143458407261919</v>
      </c>
    </row>
    <row r="22" spans="1:4" x14ac:dyDescent="0.25">
      <c r="A22" s="2">
        <v>-2.25</v>
      </c>
      <c r="B22" s="2">
        <f t="shared" si="0"/>
        <v>2.9502072124483152</v>
      </c>
    </row>
    <row r="23" spans="1:4" x14ac:dyDescent="0.25">
      <c r="A23" s="2">
        <v>-2.375</v>
      </c>
      <c r="B23" s="2">
        <f t="shared" si="0"/>
        <v>3.8658848721869128</v>
      </c>
    </row>
    <row r="24" spans="1:4" x14ac:dyDescent="0.25">
      <c r="A24" s="2">
        <v>-2.5</v>
      </c>
      <c r="B24" s="2">
        <f t="shared" si="0"/>
        <v>4.8561114235841742</v>
      </c>
    </row>
    <row r="26" spans="1:4" x14ac:dyDescent="0.25">
      <c r="C26" t="s">
        <v>4</v>
      </c>
      <c r="D26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E120-9EBF-4425-BC04-1D3E6E98FD4E}">
  <dimension ref="A1:I30"/>
  <sheetViews>
    <sheetView workbookViewId="0">
      <selection activeCell="H4" sqref="H4"/>
    </sheetView>
  </sheetViews>
  <sheetFormatPr defaultRowHeight="15" x14ac:dyDescent="0.25"/>
  <cols>
    <col min="2" max="2" width="9.28515625" bestFit="1" customWidth="1"/>
    <col min="3" max="3" width="11.28515625" bestFit="1" customWidth="1"/>
    <col min="4" max="4" width="10.140625" bestFit="1" customWidth="1"/>
    <col min="7" max="7" width="24.42578125" bestFit="1" customWidth="1"/>
    <col min="8" max="8" width="20.5703125" bestFit="1" customWidth="1"/>
  </cols>
  <sheetData>
    <row r="1" spans="1:9" ht="15.75" x14ac:dyDescent="0.25">
      <c r="A1" s="6" t="s">
        <v>6</v>
      </c>
      <c r="B1" s="7"/>
      <c r="C1" s="7"/>
      <c r="D1" s="8"/>
    </row>
    <row r="2" spans="1:9" ht="15.75" x14ac:dyDescent="0.25">
      <c r="A2" s="9" t="s">
        <v>7</v>
      </c>
      <c r="B2" s="10" t="s">
        <v>12</v>
      </c>
      <c r="C2" s="10"/>
      <c r="D2" s="11" t="s">
        <v>9</v>
      </c>
      <c r="F2" t="s">
        <v>1</v>
      </c>
    </row>
    <row r="3" spans="1:9" ht="15.75" x14ac:dyDescent="0.25">
      <c r="A3" s="12" t="s">
        <v>8</v>
      </c>
      <c r="B3" s="13"/>
      <c r="C3" s="13" t="s">
        <v>10</v>
      </c>
      <c r="D3" s="14" t="s">
        <v>11</v>
      </c>
      <c r="H3">
        <f>IF(D11*F11&lt;0,A11,C11)</f>
        <v>-5</v>
      </c>
    </row>
    <row r="4" spans="1:9" ht="15.75" x14ac:dyDescent="0.25">
      <c r="A4" s="15"/>
      <c r="B4" s="15"/>
      <c r="C4" s="15"/>
      <c r="D4" s="15"/>
    </row>
    <row r="5" spans="1:9" ht="15.75" x14ac:dyDescent="0.25">
      <c r="A5" s="15"/>
      <c r="B5" s="15"/>
      <c r="C5" s="15"/>
      <c r="D5" s="15"/>
    </row>
    <row r="6" spans="1:9" ht="15.75" x14ac:dyDescent="0.25">
      <c r="A6" s="15"/>
      <c r="B6" s="15"/>
      <c r="C6" s="15"/>
      <c r="D6" s="15"/>
    </row>
    <row r="7" spans="1:9" ht="15.75" x14ac:dyDescent="0.25">
      <c r="A7" s="4" t="s">
        <v>13</v>
      </c>
      <c r="B7" s="4" t="s">
        <v>14</v>
      </c>
      <c r="C7" s="4" t="s">
        <v>15</v>
      </c>
      <c r="D7" s="15"/>
    </row>
    <row r="8" spans="1:9" ht="15.75" x14ac:dyDescent="0.25">
      <c r="A8" s="4">
        <v>-10</v>
      </c>
      <c r="B8" s="4">
        <v>0</v>
      </c>
      <c r="C8" s="4">
        <v>1E-3</v>
      </c>
      <c r="D8" s="15"/>
    </row>
    <row r="10" spans="1:9" ht="15.75" x14ac:dyDescent="0.25">
      <c r="A10" s="5" t="s">
        <v>13</v>
      </c>
      <c r="B10" s="5" t="s">
        <v>14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</row>
    <row r="11" spans="1:9" ht="15.75" x14ac:dyDescent="0.25">
      <c r="A11" s="16">
        <f>A8</f>
        <v>-10</v>
      </c>
      <c r="B11" s="16">
        <f>B8</f>
        <v>0</v>
      </c>
      <c r="C11" s="16">
        <f>(A11+B11)/2</f>
        <v>-5</v>
      </c>
      <c r="D11" s="16">
        <f>A11*A11+4*SIN(A11)+1</f>
        <v>103.17608444355749</v>
      </c>
      <c r="E11" s="16">
        <f>B11*B11+4*SIN(B11)+1</f>
        <v>1</v>
      </c>
      <c r="F11" s="16">
        <f>C11*C11+4*SIN(C11)+1</f>
        <v>29.835697098652552</v>
      </c>
      <c r="G11" s="4">
        <f>IF(ABS(B11-A11)&lt;=$C$8,"Корень="&amp;C11,ABS(B11-A11))</f>
        <v>10</v>
      </c>
      <c r="H11" s="4" t="str">
        <f>IF(D11*E11&gt;0,"Корни не отделены"," ")</f>
        <v>Корни не отделены</v>
      </c>
      <c r="I11">
        <v>1</v>
      </c>
    </row>
    <row r="12" spans="1:9" ht="15.75" x14ac:dyDescent="0.25">
      <c r="A12" s="16">
        <f>IF(D11*F11&lt;0,A11,C11)</f>
        <v>-5</v>
      </c>
      <c r="B12" s="16">
        <f>IF(E11*F11&lt;0,B11,C11)</f>
        <v>-5</v>
      </c>
      <c r="C12" s="16">
        <f t="shared" ref="C12:C21" si="0">(A12+B12)/2</f>
        <v>-5</v>
      </c>
      <c r="D12" s="16">
        <f t="shared" ref="D12:D21" si="1">A12*A12+4*SIN(A12)+1</f>
        <v>29.835697098652552</v>
      </c>
      <c r="E12" s="16">
        <f t="shared" ref="E12:E21" si="2">B12*B12+4*SIN(B12)+1</f>
        <v>29.835697098652552</v>
      </c>
      <c r="F12" s="16">
        <f t="shared" ref="F12:F21" si="3">C12*C12+4*SIN(C12)+1</f>
        <v>29.835697098652552</v>
      </c>
      <c r="G12" s="4" t="str">
        <f t="shared" ref="G12:G21" si="4">IF(ABS(B12-A12)&lt;=$C$8,"Корень="&amp;C12,ABS(B12-A12))</f>
        <v>Корень=-5</v>
      </c>
      <c r="H12" s="4" t="str">
        <f t="shared" ref="H12:H21" si="5">IF(D12*E12&gt;0,"Корни не отделены"," ")</f>
        <v>Корни не отделены</v>
      </c>
      <c r="I12">
        <v>2</v>
      </c>
    </row>
    <row r="13" spans="1:9" ht="15.75" x14ac:dyDescent="0.25">
      <c r="A13" s="16">
        <f t="shared" ref="A13:A22" si="6">IF(D12*F12&lt;0,A12,C12)</f>
        <v>-5</v>
      </c>
      <c r="B13" s="16">
        <f t="shared" ref="B13:B22" si="7">IF(E12*F12&lt;0,B12,C12)</f>
        <v>-5</v>
      </c>
      <c r="C13" s="16">
        <f t="shared" si="0"/>
        <v>-5</v>
      </c>
      <c r="D13" s="16">
        <f t="shared" si="1"/>
        <v>29.835697098652552</v>
      </c>
      <c r="E13" s="16">
        <f t="shared" si="2"/>
        <v>29.835697098652552</v>
      </c>
      <c r="F13" s="16">
        <f t="shared" si="3"/>
        <v>29.835697098652552</v>
      </c>
      <c r="G13" s="4" t="str">
        <f t="shared" si="4"/>
        <v>Корень=-5</v>
      </c>
      <c r="H13" s="4" t="str">
        <f t="shared" si="5"/>
        <v>Корни не отделены</v>
      </c>
      <c r="I13">
        <v>3</v>
      </c>
    </row>
    <row r="14" spans="1:9" ht="15.75" x14ac:dyDescent="0.25">
      <c r="A14" s="16">
        <f t="shared" si="6"/>
        <v>-5</v>
      </c>
      <c r="B14" s="16">
        <f t="shared" si="7"/>
        <v>-5</v>
      </c>
      <c r="C14" s="16">
        <f t="shared" si="0"/>
        <v>-5</v>
      </c>
      <c r="D14" s="16">
        <f t="shared" si="1"/>
        <v>29.835697098652552</v>
      </c>
      <c r="E14" s="16">
        <f t="shared" si="2"/>
        <v>29.835697098652552</v>
      </c>
      <c r="F14" s="16">
        <f t="shared" si="3"/>
        <v>29.835697098652552</v>
      </c>
      <c r="G14" s="4" t="str">
        <f t="shared" si="4"/>
        <v>Корень=-5</v>
      </c>
      <c r="H14" s="4" t="str">
        <f t="shared" si="5"/>
        <v>Корни не отделены</v>
      </c>
      <c r="I14">
        <v>4</v>
      </c>
    </row>
    <row r="15" spans="1:9" ht="15.75" x14ac:dyDescent="0.25">
      <c r="A15" s="16">
        <f t="shared" si="6"/>
        <v>-5</v>
      </c>
      <c r="B15" s="16">
        <f t="shared" si="7"/>
        <v>-5</v>
      </c>
      <c r="C15" s="16">
        <f t="shared" si="0"/>
        <v>-5</v>
      </c>
      <c r="D15" s="16">
        <f t="shared" si="1"/>
        <v>29.835697098652552</v>
      </c>
      <c r="E15" s="16">
        <f t="shared" si="2"/>
        <v>29.835697098652552</v>
      </c>
      <c r="F15" s="16">
        <f t="shared" si="3"/>
        <v>29.835697098652552</v>
      </c>
      <c r="G15" s="4" t="str">
        <f t="shared" si="4"/>
        <v>Корень=-5</v>
      </c>
      <c r="H15" s="4" t="str">
        <f t="shared" si="5"/>
        <v>Корни не отделены</v>
      </c>
      <c r="I15">
        <v>5</v>
      </c>
    </row>
    <row r="16" spans="1:9" ht="15.75" x14ac:dyDescent="0.25">
      <c r="A16" s="16">
        <f t="shared" si="6"/>
        <v>-5</v>
      </c>
      <c r="B16" s="16">
        <f t="shared" si="7"/>
        <v>-5</v>
      </c>
      <c r="C16" s="16">
        <f t="shared" si="0"/>
        <v>-5</v>
      </c>
      <c r="D16" s="16">
        <f t="shared" si="1"/>
        <v>29.835697098652552</v>
      </c>
      <c r="E16" s="16">
        <f t="shared" si="2"/>
        <v>29.835697098652552</v>
      </c>
      <c r="F16" s="16">
        <f t="shared" si="3"/>
        <v>29.835697098652552</v>
      </c>
      <c r="G16" s="4" t="str">
        <f t="shared" si="4"/>
        <v>Корень=-5</v>
      </c>
      <c r="H16" s="4" t="str">
        <f t="shared" si="5"/>
        <v>Корни не отделены</v>
      </c>
      <c r="I16">
        <v>6</v>
      </c>
    </row>
    <row r="17" spans="1:9" ht="15.75" x14ac:dyDescent="0.25">
      <c r="A17" s="16">
        <f t="shared" si="6"/>
        <v>-5</v>
      </c>
      <c r="B17" s="16">
        <f t="shared" si="7"/>
        <v>-5</v>
      </c>
      <c r="C17" s="16">
        <f t="shared" si="0"/>
        <v>-5</v>
      </c>
      <c r="D17" s="16">
        <f t="shared" si="1"/>
        <v>29.835697098652552</v>
      </c>
      <c r="E17" s="16">
        <f t="shared" si="2"/>
        <v>29.835697098652552</v>
      </c>
      <c r="F17" s="16">
        <f t="shared" si="3"/>
        <v>29.835697098652552</v>
      </c>
      <c r="G17" s="4" t="str">
        <f t="shared" si="4"/>
        <v>Корень=-5</v>
      </c>
      <c r="H17" s="4" t="str">
        <f t="shared" si="5"/>
        <v>Корни не отделены</v>
      </c>
      <c r="I17">
        <v>7</v>
      </c>
    </row>
    <row r="18" spans="1:9" ht="15.75" x14ac:dyDescent="0.25">
      <c r="A18" s="16">
        <f t="shared" si="6"/>
        <v>-5</v>
      </c>
      <c r="B18" s="16">
        <f t="shared" si="7"/>
        <v>-5</v>
      </c>
      <c r="C18" s="16">
        <f t="shared" si="0"/>
        <v>-5</v>
      </c>
      <c r="D18" s="16">
        <f t="shared" si="1"/>
        <v>29.835697098652552</v>
      </c>
      <c r="E18" s="16">
        <f t="shared" si="2"/>
        <v>29.835697098652552</v>
      </c>
      <c r="F18" s="16">
        <f t="shared" si="3"/>
        <v>29.835697098652552</v>
      </c>
      <c r="G18" s="4" t="str">
        <f t="shared" si="4"/>
        <v>Корень=-5</v>
      </c>
      <c r="H18" s="4" t="str">
        <f t="shared" si="5"/>
        <v>Корни не отделены</v>
      </c>
      <c r="I18">
        <v>8</v>
      </c>
    </row>
    <row r="19" spans="1:9" ht="15.75" x14ac:dyDescent="0.25">
      <c r="A19" s="16">
        <f t="shared" si="6"/>
        <v>-5</v>
      </c>
      <c r="B19" s="16">
        <f t="shared" si="7"/>
        <v>-5</v>
      </c>
      <c r="C19" s="16">
        <f t="shared" si="0"/>
        <v>-5</v>
      </c>
      <c r="D19" s="16">
        <f t="shared" si="1"/>
        <v>29.835697098652552</v>
      </c>
      <c r="E19" s="16">
        <f t="shared" si="2"/>
        <v>29.835697098652552</v>
      </c>
      <c r="F19" s="16">
        <f t="shared" si="3"/>
        <v>29.835697098652552</v>
      </c>
      <c r="G19" s="4" t="str">
        <f t="shared" si="4"/>
        <v>Корень=-5</v>
      </c>
      <c r="H19" s="4" t="str">
        <f t="shared" si="5"/>
        <v>Корни не отделены</v>
      </c>
      <c r="I19">
        <v>9</v>
      </c>
    </row>
    <row r="20" spans="1:9" ht="15.75" x14ac:dyDescent="0.25">
      <c r="A20" s="16">
        <f t="shared" si="6"/>
        <v>-5</v>
      </c>
      <c r="B20" s="16">
        <f t="shared" si="7"/>
        <v>-5</v>
      </c>
      <c r="C20" s="16">
        <f t="shared" si="0"/>
        <v>-5</v>
      </c>
      <c r="D20" s="16">
        <f t="shared" si="1"/>
        <v>29.835697098652552</v>
      </c>
      <c r="E20" s="16">
        <f t="shared" si="2"/>
        <v>29.835697098652552</v>
      </c>
      <c r="F20" s="16">
        <f t="shared" si="3"/>
        <v>29.835697098652552</v>
      </c>
      <c r="G20" s="4" t="str">
        <f t="shared" si="4"/>
        <v>Корень=-5</v>
      </c>
      <c r="H20" s="4" t="str">
        <f t="shared" si="5"/>
        <v>Корни не отделены</v>
      </c>
      <c r="I20">
        <v>10</v>
      </c>
    </row>
    <row r="21" spans="1:9" ht="15.75" x14ac:dyDescent="0.25">
      <c r="A21" s="16">
        <f t="shared" si="6"/>
        <v>-5</v>
      </c>
      <c r="B21" s="16">
        <f t="shared" si="7"/>
        <v>-5</v>
      </c>
      <c r="C21" s="16">
        <f t="shared" si="0"/>
        <v>-5</v>
      </c>
      <c r="D21" s="16">
        <f t="shared" si="1"/>
        <v>29.835697098652552</v>
      </c>
      <c r="E21" s="16">
        <f t="shared" si="2"/>
        <v>29.835697098652552</v>
      </c>
      <c r="F21" s="16">
        <f t="shared" si="3"/>
        <v>29.835697098652552</v>
      </c>
      <c r="G21" s="4" t="str">
        <f t="shared" si="4"/>
        <v>Корень=-5</v>
      </c>
      <c r="H21" s="4" t="str">
        <f t="shared" si="5"/>
        <v>Корни не отделены</v>
      </c>
      <c r="I21">
        <v>11</v>
      </c>
    </row>
    <row r="22" spans="1:9" ht="15.75" x14ac:dyDescent="0.25">
      <c r="A22" s="16">
        <f t="shared" si="6"/>
        <v>-5</v>
      </c>
      <c r="B22" s="16">
        <f t="shared" si="7"/>
        <v>-5</v>
      </c>
      <c r="C22" s="16">
        <f>(A22+B22)/2</f>
        <v>-5</v>
      </c>
      <c r="D22" s="16">
        <f>A22*A22+4*SIN(A22)+1</f>
        <v>29.835697098652552</v>
      </c>
      <c r="E22" s="16">
        <f>B22*B22+4*SIN(B22)+1</f>
        <v>29.835697098652552</v>
      </c>
      <c r="F22" s="16">
        <f>C22*C22+4*SIN(C22)+1</f>
        <v>29.835697098652552</v>
      </c>
      <c r="G22" s="4" t="str">
        <f>IF(ABS(B22-A22)&lt;=$C$8,"Корень="&amp;C22,ABS(B22-A22))</f>
        <v>Корень=-5</v>
      </c>
      <c r="H22" s="4" t="str">
        <f>IF(D22*E22&gt;0,"Корни не отделены"," ")</f>
        <v>Корни не отделены</v>
      </c>
      <c r="I22">
        <v>12</v>
      </c>
    </row>
    <row r="23" spans="1:9" ht="15.75" x14ac:dyDescent="0.25">
      <c r="A23" s="16">
        <f>IF(D22*F22&lt;0,A22,C22)</f>
        <v>-5</v>
      </c>
      <c r="B23" s="16">
        <f>IF(E22*F22&lt;0,B22,C22)</f>
        <v>-5</v>
      </c>
      <c r="C23" s="16">
        <f t="shared" ref="C23:C30" si="8">(A23+B23)/2</f>
        <v>-5</v>
      </c>
      <c r="D23" s="16">
        <f t="shared" ref="D23:D30" si="9">A23*A23+4*SIN(A23)+1</f>
        <v>29.835697098652552</v>
      </c>
      <c r="E23" s="16">
        <f t="shared" ref="E23:E30" si="10">B23*B23+4*SIN(B23)+1</f>
        <v>29.835697098652552</v>
      </c>
      <c r="F23" s="16">
        <f t="shared" ref="F23:F30" si="11">C23*C23+4*SIN(C23)+1</f>
        <v>29.835697098652552</v>
      </c>
      <c r="G23" s="4" t="str">
        <f t="shared" ref="G23:G30" si="12">IF(ABS(B23-A23)&lt;=$C$8,"Корень="&amp;C23,ABS(B23-A23))</f>
        <v>Корень=-5</v>
      </c>
      <c r="H23" s="4" t="str">
        <f t="shared" ref="H23:H30" si="13">IF(D23*E23&gt;0,"Корни не отделены"," ")</f>
        <v>Корни не отделены</v>
      </c>
      <c r="I23">
        <v>13</v>
      </c>
    </row>
    <row r="24" spans="1:9" ht="15.75" x14ac:dyDescent="0.25">
      <c r="A24" s="16">
        <f t="shared" ref="A24:A30" si="14">IF(D23*F23&lt;0,A23,C23)</f>
        <v>-5</v>
      </c>
      <c r="B24" s="16">
        <f t="shared" ref="B24:B30" si="15">IF(E23*F23&lt;0,B23,C23)</f>
        <v>-5</v>
      </c>
      <c r="C24" s="16">
        <f t="shared" si="8"/>
        <v>-5</v>
      </c>
      <c r="D24" s="16">
        <f t="shared" si="9"/>
        <v>29.835697098652552</v>
      </c>
      <c r="E24" s="16">
        <f t="shared" si="10"/>
        <v>29.835697098652552</v>
      </c>
      <c r="F24" s="16">
        <f t="shared" si="11"/>
        <v>29.835697098652552</v>
      </c>
      <c r="G24" s="4" t="str">
        <f t="shared" si="12"/>
        <v>Корень=-5</v>
      </c>
      <c r="H24" s="4" t="str">
        <f t="shared" si="13"/>
        <v>Корни не отделены</v>
      </c>
      <c r="I24">
        <v>14</v>
      </c>
    </row>
    <row r="25" spans="1:9" ht="15.75" x14ac:dyDescent="0.25">
      <c r="A25" s="16">
        <f t="shared" si="14"/>
        <v>-5</v>
      </c>
      <c r="B25" s="16">
        <f t="shared" si="15"/>
        <v>-5</v>
      </c>
      <c r="C25" s="16">
        <f t="shared" si="8"/>
        <v>-5</v>
      </c>
      <c r="D25" s="16">
        <f t="shared" si="9"/>
        <v>29.835697098652552</v>
      </c>
      <c r="E25" s="16">
        <f t="shared" si="10"/>
        <v>29.835697098652552</v>
      </c>
      <c r="F25" s="16">
        <f t="shared" si="11"/>
        <v>29.835697098652552</v>
      </c>
      <c r="G25" s="4" t="str">
        <f t="shared" si="12"/>
        <v>Корень=-5</v>
      </c>
      <c r="H25" s="4" t="str">
        <f t="shared" si="13"/>
        <v>Корни не отделены</v>
      </c>
      <c r="I25">
        <v>15</v>
      </c>
    </row>
    <row r="26" spans="1:9" ht="15.75" x14ac:dyDescent="0.25">
      <c r="A26" s="16">
        <f t="shared" si="14"/>
        <v>-5</v>
      </c>
      <c r="B26" s="16">
        <f t="shared" si="15"/>
        <v>-5</v>
      </c>
      <c r="C26" s="16">
        <f t="shared" si="8"/>
        <v>-5</v>
      </c>
      <c r="D26" s="16">
        <f t="shared" si="9"/>
        <v>29.835697098652552</v>
      </c>
      <c r="E26" s="16">
        <f t="shared" si="10"/>
        <v>29.835697098652552</v>
      </c>
      <c r="F26" s="16">
        <f t="shared" si="11"/>
        <v>29.835697098652552</v>
      </c>
      <c r="G26" s="4" t="str">
        <f t="shared" si="12"/>
        <v>Корень=-5</v>
      </c>
      <c r="H26" s="4" t="str">
        <f t="shared" si="13"/>
        <v>Корни не отделены</v>
      </c>
      <c r="I26">
        <v>16</v>
      </c>
    </row>
    <row r="27" spans="1:9" ht="15.75" x14ac:dyDescent="0.25">
      <c r="A27" s="16">
        <f t="shared" si="14"/>
        <v>-5</v>
      </c>
      <c r="B27" s="16">
        <f t="shared" si="15"/>
        <v>-5</v>
      </c>
      <c r="C27" s="16">
        <f t="shared" si="8"/>
        <v>-5</v>
      </c>
      <c r="D27" s="16">
        <f t="shared" si="9"/>
        <v>29.835697098652552</v>
      </c>
      <c r="E27" s="16">
        <f t="shared" si="10"/>
        <v>29.835697098652552</v>
      </c>
      <c r="F27" s="16">
        <f t="shared" si="11"/>
        <v>29.835697098652552</v>
      </c>
      <c r="G27" s="4" t="str">
        <f t="shared" si="12"/>
        <v>Корень=-5</v>
      </c>
      <c r="H27" s="4" t="str">
        <f t="shared" si="13"/>
        <v>Корни не отделены</v>
      </c>
      <c r="I27">
        <v>17</v>
      </c>
    </row>
    <row r="28" spans="1:9" ht="15.75" x14ac:dyDescent="0.25">
      <c r="A28" s="16">
        <f t="shared" si="14"/>
        <v>-5</v>
      </c>
      <c r="B28" s="16">
        <f t="shared" si="15"/>
        <v>-5</v>
      </c>
      <c r="C28" s="16">
        <f t="shared" si="8"/>
        <v>-5</v>
      </c>
      <c r="D28" s="16">
        <f t="shared" si="9"/>
        <v>29.835697098652552</v>
      </c>
      <c r="E28" s="16">
        <f t="shared" si="10"/>
        <v>29.835697098652552</v>
      </c>
      <c r="F28" s="16">
        <f t="shared" si="11"/>
        <v>29.835697098652552</v>
      </c>
      <c r="G28" s="4" t="str">
        <f t="shared" si="12"/>
        <v>Корень=-5</v>
      </c>
      <c r="H28" s="4" t="str">
        <f t="shared" si="13"/>
        <v>Корни не отделены</v>
      </c>
      <c r="I28">
        <v>18</v>
      </c>
    </row>
    <row r="29" spans="1:9" ht="15.75" x14ac:dyDescent="0.25">
      <c r="A29" s="16">
        <f t="shared" si="14"/>
        <v>-5</v>
      </c>
      <c r="B29" s="16">
        <f t="shared" si="15"/>
        <v>-5</v>
      </c>
      <c r="C29" s="16">
        <f t="shared" si="8"/>
        <v>-5</v>
      </c>
      <c r="D29" s="16">
        <f t="shared" si="9"/>
        <v>29.835697098652552</v>
      </c>
      <c r="E29" s="16">
        <f t="shared" si="10"/>
        <v>29.835697098652552</v>
      </c>
      <c r="F29" s="16">
        <f t="shared" si="11"/>
        <v>29.835697098652552</v>
      </c>
      <c r="G29" s="4" t="str">
        <f t="shared" si="12"/>
        <v>Корень=-5</v>
      </c>
      <c r="H29" s="4" t="str">
        <f t="shared" si="13"/>
        <v>Корни не отделены</v>
      </c>
      <c r="I29">
        <v>19</v>
      </c>
    </row>
    <row r="30" spans="1:9" ht="15.75" x14ac:dyDescent="0.25">
      <c r="A30" s="16">
        <f t="shared" si="14"/>
        <v>-5</v>
      </c>
      <c r="B30" s="16">
        <f t="shared" si="15"/>
        <v>-5</v>
      </c>
      <c r="C30" s="16">
        <f t="shared" si="8"/>
        <v>-5</v>
      </c>
      <c r="D30" s="16">
        <f t="shared" si="9"/>
        <v>29.835697098652552</v>
      </c>
      <c r="E30" s="16">
        <f t="shared" si="10"/>
        <v>29.835697098652552</v>
      </c>
      <c r="F30" s="16">
        <f t="shared" si="11"/>
        <v>29.835697098652552</v>
      </c>
      <c r="G30" s="4" t="str">
        <f t="shared" si="12"/>
        <v>Корень=-5</v>
      </c>
      <c r="H30" s="4" t="str">
        <f t="shared" si="13"/>
        <v>Корни не отделены</v>
      </c>
      <c r="I3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0D7E-6B45-4BC5-8780-6273E040DC43}">
  <dimension ref="A1:H12"/>
  <sheetViews>
    <sheetView tabSelected="1" workbookViewId="0">
      <selection activeCell="G15" sqref="G15"/>
    </sheetView>
  </sheetViews>
  <sheetFormatPr defaultColWidth="9.28515625" defaultRowHeight="15" x14ac:dyDescent="0.25"/>
  <cols>
    <col min="3" max="3" width="23.28515625" bestFit="1" customWidth="1"/>
    <col min="4" max="4" width="10.140625" bestFit="1" customWidth="1"/>
    <col min="5" max="5" width="10.85546875" bestFit="1" customWidth="1"/>
    <col min="7" max="7" width="10.85546875" customWidth="1"/>
    <col min="8" max="8" width="10.85546875" bestFit="1" customWidth="1"/>
  </cols>
  <sheetData>
    <row r="1" spans="1:8" ht="15.75" x14ac:dyDescent="0.25">
      <c r="A1" s="6" t="s">
        <v>22</v>
      </c>
      <c r="B1" s="7"/>
      <c r="C1" s="7"/>
      <c r="D1" s="8"/>
    </row>
    <row r="2" spans="1:8" ht="15.75" x14ac:dyDescent="0.25">
      <c r="A2" s="9" t="s">
        <v>7</v>
      </c>
      <c r="B2" s="10" t="s">
        <v>12</v>
      </c>
      <c r="C2" s="10"/>
      <c r="D2" s="11" t="s">
        <v>9</v>
      </c>
      <c r="F2" t="s">
        <v>1</v>
      </c>
    </row>
    <row r="3" spans="1:8" ht="15.75" x14ac:dyDescent="0.25">
      <c r="A3" s="12" t="s">
        <v>8</v>
      </c>
      <c r="B3" s="13"/>
      <c r="C3" s="13" t="s">
        <v>10</v>
      </c>
      <c r="D3" s="14" t="s">
        <v>11</v>
      </c>
      <c r="F3" s="17" t="s">
        <v>29</v>
      </c>
    </row>
    <row r="5" spans="1:8" x14ac:dyDescent="0.25">
      <c r="A5" s="2" t="s">
        <v>23</v>
      </c>
      <c r="B5" s="2" t="s">
        <v>27</v>
      </c>
    </row>
    <row r="6" spans="1:8" x14ac:dyDescent="0.25">
      <c r="A6" s="2">
        <v>-2</v>
      </c>
      <c r="B6" s="2">
        <v>1E-3</v>
      </c>
    </row>
    <row r="8" spans="1:8" ht="16.5" x14ac:dyDescent="0.25">
      <c r="A8" s="18" t="s">
        <v>31</v>
      </c>
      <c r="B8" s="18" t="s">
        <v>24</v>
      </c>
      <c r="C8" s="18" t="s">
        <v>26</v>
      </c>
      <c r="D8" s="18" t="s">
        <v>25</v>
      </c>
      <c r="E8" s="19" t="s">
        <v>30</v>
      </c>
      <c r="F8" s="20"/>
      <c r="G8" s="18" t="s">
        <v>32</v>
      </c>
      <c r="H8" s="18" t="s">
        <v>28</v>
      </c>
    </row>
    <row r="9" spans="1:8" x14ac:dyDescent="0.25">
      <c r="A9" s="18">
        <f>G9*G9+4*SIN(G9)+1</f>
        <v>1.3628102926972732</v>
      </c>
      <c r="B9" s="18">
        <f>G9-(A9/E9)</f>
        <v>-1.7594157862859607</v>
      </c>
      <c r="C9" s="18">
        <f>IF(ABS(B9-G9)&lt;$B$6,"КОРЕНЬ="&amp;ROUND(B9,4),ABS(B9-G9))</f>
        <v>0.24058421371403926</v>
      </c>
      <c r="D9" s="18"/>
      <c r="E9" s="18">
        <f>2*G9+4*COS(G9)</f>
        <v>-5.6645873461885694</v>
      </c>
      <c r="F9" s="18"/>
      <c r="G9" s="18">
        <f>A6</f>
        <v>-2</v>
      </c>
      <c r="H9" s="18">
        <v>1</v>
      </c>
    </row>
    <row r="10" spans="1:8" x14ac:dyDescent="0.25">
      <c r="A10" s="18">
        <f t="shared" ref="A10:A12" si="0">G10*G10+4*SIN(G10)+1</f>
        <v>0.1664878026621186</v>
      </c>
      <c r="B10" s="18">
        <f t="shared" ref="B10:B12" si="1">G10-(A10/E10)</f>
        <v>-1.7204151068519131</v>
      </c>
      <c r="C10" s="18">
        <f>IF(ABS(B10-G10)&lt;$B$6,"КОРЕНЬ="&amp;ROUND(B10,4),ABS(B10-G10))</f>
        <v>3.9000679434047614E-2</v>
      </c>
      <c r="D10" s="18"/>
      <c r="E10" s="18">
        <f t="shared" ref="E10:E12" si="2">2*G10+4*COS(G10)</f>
        <v>-4.2688436478051246</v>
      </c>
      <c r="F10" s="18"/>
      <c r="G10" s="18">
        <f>B9</f>
        <v>-1.7594157862859607</v>
      </c>
      <c r="H10" s="18">
        <v>2</v>
      </c>
    </row>
    <row r="11" spans="1:8" x14ac:dyDescent="0.25">
      <c r="A11" s="18">
        <f t="shared" si="0"/>
        <v>4.5162403537837292E-3</v>
      </c>
      <c r="B11" s="18">
        <f t="shared" si="1"/>
        <v>-1.7192964156169612</v>
      </c>
      <c r="C11" s="18">
        <f>IF(ABS(B11-G11)&lt;$B$6,"КОРЕНЬ="&amp;ROUND(B11,4),ABS(B11-G11))</f>
        <v>1.1186912349518963E-3</v>
      </c>
      <c r="D11" s="18"/>
      <c r="E11" s="18">
        <f t="shared" si="2"/>
        <v>-4.0370749431836428</v>
      </c>
      <c r="F11" s="18"/>
      <c r="G11" s="18">
        <f t="shared" ref="G11:G12" si="3">B10</f>
        <v>-1.7204151068519131</v>
      </c>
      <c r="H11" s="18">
        <v>3</v>
      </c>
    </row>
    <row r="12" spans="1:8" x14ac:dyDescent="0.25">
      <c r="A12" s="18">
        <f t="shared" si="0"/>
        <v>3.7265861938529099E-6</v>
      </c>
      <c r="B12" s="18">
        <f t="shared" si="1"/>
        <v>-1.7192954910003688</v>
      </c>
      <c r="C12" s="18" t="str">
        <f>IF(ABS(B12-G12)&lt;$B$6,"КОРЕНЬ="&amp;ROUND(B12,4),ABS(B12-G12))</f>
        <v>КОРЕНЬ=-1,7193</v>
      </c>
      <c r="D12" s="18"/>
      <c r="E12" s="18">
        <f t="shared" si="2"/>
        <v>-4.0304124157919645</v>
      </c>
      <c r="F12" s="18"/>
      <c r="G12" s="18">
        <f t="shared" si="3"/>
        <v>-1.7192964156169612</v>
      </c>
      <c r="H12" s="1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МЕТОД ДЕЛЕНИЯ ОТРЕЗКА ПОПОЛАМ</vt:lpstr>
      <vt:lpstr>МЕТОД КАСАТЕЛЬНЫХ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C</dc:creator>
  <cp:lastModifiedBy>Андрей C</cp:lastModifiedBy>
  <dcterms:created xsi:type="dcterms:W3CDTF">2015-06-05T18:19:34Z</dcterms:created>
  <dcterms:modified xsi:type="dcterms:W3CDTF">2026-02-17T18:28:46Z</dcterms:modified>
</cp:coreProperties>
</file>